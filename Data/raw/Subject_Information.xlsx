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Ferris-Lab\rhybart\writing\metabolics paper\"/>
    </mc:Choice>
  </mc:AlternateContent>
  <xr:revisionPtr revIDLastSave="0" documentId="13_ncr:1_{F3AB9C59-AB9C-4739-AE9E-F6DD50F5CD1E}" xr6:coauthVersionLast="47" xr6:coauthVersionMax="47" xr10:uidLastSave="{00000000-0000-0000-0000-000000000000}"/>
  <bookViews>
    <workbookView xWindow="-120" yWindow="-120" windowWidth="20730" windowHeight="11160" xr2:uid="{369DD06B-58FA-4C28-9761-460D19F14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E16" i="1"/>
  <c r="F16" i="1"/>
  <c r="C16" i="1"/>
  <c r="D15" i="1"/>
  <c r="E15" i="1"/>
  <c r="F15" i="1"/>
  <c r="C15" i="1"/>
  <c r="D13" i="1"/>
</calcChain>
</file>

<file path=xl/sharedStrings.xml><?xml version="1.0" encoding="utf-8"?>
<sst xmlns="http://schemas.openxmlformats.org/spreadsheetml/2006/main" count="33" uniqueCount="23">
  <si>
    <t>Subject ID</t>
  </si>
  <si>
    <t>Sex</t>
  </si>
  <si>
    <t>Height (cm)</t>
  </si>
  <si>
    <t>weight (kg)</t>
  </si>
  <si>
    <t>walking speed (m/s)</t>
  </si>
  <si>
    <t>age</t>
  </si>
  <si>
    <t>PhD13</t>
  </si>
  <si>
    <t>PhD14</t>
  </si>
  <si>
    <t>PhD15</t>
  </si>
  <si>
    <t>PhD16</t>
  </si>
  <si>
    <t>PhD17</t>
  </si>
  <si>
    <t>PhD18</t>
  </si>
  <si>
    <t>PhD19</t>
  </si>
  <si>
    <t>PhD20</t>
  </si>
  <si>
    <t>PhD21</t>
  </si>
  <si>
    <t>PhD22</t>
  </si>
  <si>
    <t>PhD23</t>
  </si>
  <si>
    <t>PhD27</t>
  </si>
  <si>
    <t>F</t>
  </si>
  <si>
    <t>M</t>
  </si>
  <si>
    <t>averages</t>
  </si>
  <si>
    <t>7M/5F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</si>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</sst>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226C4-4938-4671-B115-6B8BC6A3EF12}">
  <dimension ref="A1:F16"/>
  <sheetViews>
    <sheetView tabSelected="1" workbookViewId="0">
      <selection activeCell="L12" sqref="L12"/>
    </sheetView>
  </sheetViews>
  <sheetFormatPr defaultRowHeight="15" x14ac:dyDescent="0.25"/>
  <cols>
    <col min="1" max="1" width="9.85546875" bestFit="1" customWidth="1"/>
    <col min="3" max="3" width="11.28515625" bestFit="1" customWidth="1"/>
    <col min="4" max="4" width="11" bestFit="1" customWidth="1"/>
    <col min="5" max="5" width="19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18</v>
      </c>
      <c r="C2">
        <v>160.02000000000001</v>
      </c>
      <c r="D2">
        <v>73.48</v>
      </c>
      <c r="E2">
        <v>0.95</v>
      </c>
      <c r="F2">
        <v>20</v>
      </c>
    </row>
    <row r="3" spans="1:6" x14ac:dyDescent="0.25">
      <c r="A3" t="s">
        <v>7</v>
      </c>
      <c r="B3" t="s">
        <v>19</v>
      </c>
      <c r="C3">
        <v>177.8</v>
      </c>
      <c r="D3">
        <v>74.84</v>
      </c>
      <c r="E3">
        <v>1.2</v>
      </c>
      <c r="F3">
        <v>22</v>
      </c>
    </row>
    <row r="4" spans="1:6" x14ac:dyDescent="0.25">
      <c r="A4" t="s">
        <v>8</v>
      </c>
      <c r="B4" t="s">
        <v>19</v>
      </c>
      <c r="C4">
        <v>182.88</v>
      </c>
      <c r="D4">
        <v>72.574799999999996</v>
      </c>
      <c r="E4">
        <v>0.95</v>
      </c>
      <c r="F4">
        <v>24</v>
      </c>
    </row>
    <row r="5" spans="1:6" x14ac:dyDescent="0.25">
      <c r="A5" t="s">
        <v>9</v>
      </c>
      <c r="B5" t="s">
        <v>18</v>
      </c>
      <c r="C5">
        <v>167.64</v>
      </c>
      <c r="D5">
        <v>59.874200000000002</v>
      </c>
      <c r="E5">
        <v>1</v>
      </c>
      <c r="F5">
        <v>18</v>
      </c>
    </row>
    <row r="6" spans="1:6" x14ac:dyDescent="0.25">
      <c r="A6" t="s">
        <v>10</v>
      </c>
      <c r="B6" t="s">
        <v>19</v>
      </c>
      <c r="C6">
        <v>177.8</v>
      </c>
      <c r="D6">
        <v>61.234999999999999</v>
      </c>
      <c r="E6">
        <v>1.2</v>
      </c>
      <c r="F6">
        <v>18</v>
      </c>
    </row>
    <row r="7" spans="1:6" x14ac:dyDescent="0.25">
      <c r="A7" t="s">
        <v>11</v>
      </c>
      <c r="B7" t="s">
        <v>19</v>
      </c>
      <c r="C7">
        <v>170.18</v>
      </c>
      <c r="D7">
        <v>79.378699999999995</v>
      </c>
      <c r="E7">
        <v>1.2</v>
      </c>
      <c r="F7">
        <v>18</v>
      </c>
    </row>
    <row r="8" spans="1:6" x14ac:dyDescent="0.25">
      <c r="A8" t="s">
        <v>12</v>
      </c>
      <c r="B8" t="s">
        <v>19</v>
      </c>
      <c r="C8">
        <v>177.8</v>
      </c>
      <c r="D8">
        <v>90.718500000000006</v>
      </c>
      <c r="E8">
        <v>1.1499999999999999</v>
      </c>
      <c r="F8">
        <v>18</v>
      </c>
    </row>
    <row r="9" spans="1:6" x14ac:dyDescent="0.25">
      <c r="A9" t="s">
        <v>13</v>
      </c>
      <c r="B9" t="s">
        <v>18</v>
      </c>
      <c r="C9">
        <v>175.26</v>
      </c>
      <c r="D9">
        <v>52.616700000000002</v>
      </c>
      <c r="E9">
        <v>1.1499999999999999</v>
      </c>
      <c r="F9">
        <v>18</v>
      </c>
    </row>
    <row r="10" spans="1:6" x14ac:dyDescent="0.25">
      <c r="A10" t="s">
        <v>14</v>
      </c>
      <c r="B10" t="s">
        <v>19</v>
      </c>
      <c r="C10">
        <v>175.26</v>
      </c>
      <c r="D10">
        <v>58.059800000000003</v>
      </c>
      <c r="E10">
        <v>1.35</v>
      </c>
      <c r="F10">
        <v>18</v>
      </c>
    </row>
    <row r="11" spans="1:6" x14ac:dyDescent="0.25">
      <c r="A11" t="s">
        <v>15</v>
      </c>
      <c r="B11" t="s">
        <v>18</v>
      </c>
      <c r="C11">
        <v>172.72</v>
      </c>
      <c r="D11">
        <v>74.842699999999994</v>
      </c>
      <c r="E11">
        <v>1.3</v>
      </c>
      <c r="F11">
        <v>26</v>
      </c>
    </row>
    <row r="12" spans="1:6" x14ac:dyDescent="0.25">
      <c r="A12" t="s">
        <v>16</v>
      </c>
      <c r="B12" t="s">
        <v>19</v>
      </c>
      <c r="C12">
        <v>180.34</v>
      </c>
      <c r="D12">
        <v>63.502899999999997</v>
      </c>
      <c r="E12">
        <v>1.1499999999999999</v>
      </c>
      <c r="F12">
        <v>21</v>
      </c>
    </row>
    <row r="13" spans="1:6" x14ac:dyDescent="0.25">
      <c r="A13" t="s">
        <v>17</v>
      </c>
      <c r="B13" t="s">
        <v>18</v>
      </c>
      <c r="C13">
        <v>157.47999999999999</v>
      </c>
      <c r="D13">
        <f>155/2.205</f>
        <v>70.29478458049887</v>
      </c>
      <c r="E13">
        <v>1.1000000000000001</v>
      </c>
      <c r="F13">
        <v>50</v>
      </c>
    </row>
    <row r="15" spans="1:6" x14ac:dyDescent="0.25">
      <c r="A15" t="s">
        <v>20</v>
      </c>
      <c r="B15" t="s">
        <v>21</v>
      </c>
      <c r="C15">
        <f>AVERAGE(C2:C13)</f>
        <v>172.93166666666664</v>
      </c>
      <c r="D15">
        <f t="shared" ref="D15:F15" si="0">AVERAGE(D2:D13)</f>
        <v>69.28484038170825</v>
      </c>
      <c r="E15">
        <f t="shared" si="0"/>
        <v>1.1416666666666668</v>
      </c>
      <c r="F15">
        <f t="shared" si="0"/>
        <v>22.583333333333332</v>
      </c>
    </row>
    <row r="16" spans="1:6" x14ac:dyDescent="0.25">
      <c r="A16" t="s">
        <v>22</v>
      </c>
      <c r="C16">
        <f>_xlfn.STDEV.P(C2:C13)</f>
        <v>7.5104392163323084</v>
      </c>
      <c r="D16">
        <f t="shared" ref="D16:F16" si="1">_xlfn.STDEV.P(D2:D13)</f>
        <v>10.177998767125313</v>
      </c>
      <c r="E16">
        <f t="shared" si="1"/>
        <v>0.12047360245667313</v>
      </c>
      <c r="F16">
        <f t="shared" si="1"/>
        <v>8.6646632299754671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Hybart,Rachel L</dc:creator>
  <cp:lastModifiedBy>Hybart,Rachel L</cp:lastModifiedBy>
  <dcterms:created xsi:type="dcterms:W3CDTF">2023-05-22T14:04:08Z</dcterms:created>
  <dcterms:modified xsi:type="dcterms:W3CDTF">2023-05-22T14:07:50Z</dcterms:modified>
</cp:coreProperties>
</file>